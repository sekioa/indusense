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thomaslegrandconsultants37.sharepoint.com/sites/GP/Documents partages/02.Missions/3.IFC/ATLAS - AMO Certification/3.2024/APPUI REFERENCEMENT/02. LOT3.1 certification IA/pack documentaire IA/"/>
    </mc:Choice>
  </mc:AlternateContent>
  <xr:revisionPtr revIDLastSave="31" documentId="8_{96129892-401F-4DE6-816E-11AF358A4208}" xr6:coauthVersionLast="47" xr6:coauthVersionMax="47" xr10:uidLastSave="{FE996909-7955-42A2-881C-79A0B590E6D5}"/>
  <bookViews>
    <workbookView xWindow="-110" yWindow="-110" windowWidth="19420" windowHeight="10300" xr2:uid="{89C32FD2-7E26-432B-8586-792D91287B74}"/>
  </bookViews>
  <sheets>
    <sheet name="Mode d'emploi" sheetId="2" r:id="rId1"/>
    <sheet name="Grille de notation" sheetId="4" r:id="rId2"/>
  </sheets>
  <definedNames>
    <definedName name="_xlnm.Print_Area" localSheetId="1">'Grille de notation'!$A$1:$J$34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4" l="1"/>
  <c r="H9" i="4" s="1"/>
  <c r="G10" i="4"/>
  <c r="H10" i="4" s="1"/>
  <c r="G11" i="4"/>
  <c r="H11" i="4" s="1"/>
  <c r="G12" i="4"/>
  <c r="H12" i="4" s="1"/>
  <c r="G13" i="4"/>
  <c r="H13" i="4" s="1"/>
  <c r="G14" i="4"/>
  <c r="H14" i="4" s="1"/>
  <c r="G15" i="4"/>
  <c r="H15" i="4" s="1"/>
  <c r="G17" i="4"/>
  <c r="H17" i="4" s="1"/>
  <c r="G16" i="4"/>
  <c r="H16" i="4" s="1"/>
  <c r="C20" i="4"/>
  <c r="C21" i="4" s="1"/>
  <c r="C22" i="4" l="1"/>
</calcChain>
</file>

<file path=xl/sharedStrings.xml><?xml version="1.0" encoding="utf-8"?>
<sst xmlns="http://schemas.openxmlformats.org/spreadsheetml/2006/main" count="48" uniqueCount="43">
  <si>
    <t xml:space="preserve">FICHE RECAPITULATIVE DES RESULTATS DU CANDIDAT </t>
  </si>
  <si>
    <t>Nom du candidat</t>
  </si>
  <si>
    <t>Prénom du candidat</t>
  </si>
  <si>
    <t>Date de l'évaluation</t>
  </si>
  <si>
    <r>
      <t>CERTIFICATION PROFESSIONNELLE "</t>
    </r>
    <r>
      <rPr>
        <b/>
        <sz val="11"/>
        <color rgb="FF7030A0"/>
        <rFont val="Calibri"/>
        <family val="2"/>
        <scheme val="minor"/>
      </rPr>
      <t>CONCEVOIR ET IMPLEMENTER UNE SOLUTION D'INTELLIGENCE ARTIFICIELLE</t>
    </r>
    <r>
      <rPr>
        <sz val="11"/>
        <color theme="1"/>
        <rFont val="Calibri"/>
        <family val="2"/>
        <scheme val="minor"/>
      </rPr>
      <t>"</t>
    </r>
  </si>
  <si>
    <t>Avis du Jury d'évaluation</t>
  </si>
  <si>
    <t>Professionnel évaluateur 2</t>
  </si>
  <si>
    <t>Nom/Prénom</t>
  </si>
  <si>
    <t>Fonction</t>
  </si>
  <si>
    <t>Signature</t>
  </si>
  <si>
    <t>C1. Identifier un jeu de données pour répondre aux besoins métiers et aux cas d’usage, en tenant compte des enjeux de pertinence et de cohérence.</t>
  </si>
  <si>
    <t>C2. Identifier les risques éthiques et sociétaux à prendre en compte dans le cadre de l’exploitation de la solution d’IA pour prévenir les dérives éventuelles, en tenant compte du cadre règlementaire.</t>
  </si>
  <si>
    <t>C3. Préparer les données pour renforcer leur intégrité et leur pertinence en vue du développement de la solution IA, en mobilisant les techniques de traitement adaptées et en tenant compte des attendus (besoins métiers, cas d’usage etc.) identifiés en phase de cadrage du projet.</t>
  </si>
  <si>
    <t>C4. Choisir un modèle IA pour disposer d’une solution adaptée et performante par rapport aux cas d‘usage, en mesurant sa pertinence et en mobilisant une démarche scientifique.</t>
  </si>
  <si>
    <t>C5. Entrainer le modèle d’IA de façon automatique et supervisée pour valider la pertinence des solutions envisagées, au regard des cas d’usage énoncés par le métier.</t>
  </si>
  <si>
    <t>C6. Implémenter le modèle d’IA en intégrant les briques technologiques (moteurs, reporting, suivi des prévisions etc.) au sein de l’environnement technique choisi pour exploiter la solution.</t>
  </si>
  <si>
    <t>C7. Contribuer à la conception et à l’évaluation de la proposition d’architecture cible, en identifiant les contraintes avec l’appui des acteurs pertinents, pour garantir les performances attendues.</t>
  </si>
  <si>
    <t>C8. Mesurer la performance et les impacts de la solution d’IA  pour maintenir son application fonctionnelle, conformément aux cas d’usage et aux enjeux identifiés.</t>
  </si>
  <si>
    <t>C9. Adopter une démarche d’amélioration continue de la solution IA, pour garantir son évolution au fil du temps, dans le respect des exigences de la commande initiale et en tenant compte des évolutions des besoins utilisateurs et des données mobilisables.</t>
  </si>
  <si>
    <t>Professionnel évaluateur 1 (président du jury)</t>
  </si>
  <si>
    <t>Les risques éthiques et sociétaux associés à l’exploitation de la solution d'IA sont correctement identifiés et pris en compte : 
•	Les chartes éthiques (européennes et françaises) sont connues et appliquées.
•	Les impacts éthiques et sociétaux liés au déploiement de la solution d’IA sont connus et leurs conséquences comprises.
•	Les biais potentiels ou existants sont identifiés lorsque cela est possible.
•	Les dilemmes éthiques sont identifiés le cas échéant. 
•	Les risque éthiques et sociétaux identifiés sont portés à la connaissance des acteurs concernés (commanditaire, juristes, etc.).
•	La vérification par les acteurs concernés des problèmes légaux et éthiques liés au jeu de données est faite.</t>
  </si>
  <si>
    <t>exploitation efficace et cohérente par rapport aux attendus du projet : 
•	Les données sont correctement nommées ou renommées.
•	Le format des données est adapté à l'usage auquel elles sont destinées.
•	Les données altérées, inexactes ou non pertinentes sont corrigées ou supprimées (blancs effacés, suppression des fichiers vides et des doublons, etc.).
•	Les traitements effectués sont correctement documentés.
•	Le choix du modèle de stockage (object storage, base de données de documents, base de données relationnelle, etc.) est adapté aux types de données détenues et aux types d'usages auxquels elles sont destinées.
•	Le cycle de vie du jeu de données est correctement documenté (accessibilité des données résultant du traitement vérifiée, prise en compte de usages futurs, des caractéristiques des cas d’usage, de la gouvernance, etc.).
•	Le cycle de vie du jeu de données dûment documenté est soumis aux parties prenantes.</t>
  </si>
  <si>
    <t>Le modèle d'IA choisi offre une solution adaptée et performante par rapport aux cas d’usage :
•	La pertinence du modèle est évaluée grâce aux bons indicateurs (analyse  Receiver Operating Characteristic, ou ROC).
•	Les contraintes opérationnelles sont effectivement prises en compte.
•	Les contraintes en matière d’éco-conception sont portées à la connaissance des acteurs pertinents pour choisir la stratégie adaptée.
•	Les grandes familles d'algorithmes sont connues (outils, contraintes, etc.).
•	La démarche scientifique (critères, problématiques, etc.) est correctement documentée.
•	La performance attendue est déterminée (niveau de précision, temps de traitement et d’inférence, prise en compte des déterminants de la performance énergétique, etc.).
•	Le type de résultat attendu est identifié (probabiliste, déterministe, etc.).
•	Le contexte des cas d’usage est pris en compte.
•	Le modèle d'apprentissage choisi est cohérent par rapport aux résultats attendus.
•	La pertinence d’utiliser des solutions techniques sur l’étagère est évaluée le cas échéant.</t>
  </si>
  <si>
    <t>La méthode d'entrainement du modèle d’IA est adaptée aux résultats attendus :
•	Le modèle d'apprentissage est optimisé suivant le contexte du projet.
•	Le modèle créé est entrainé le cas échéant.
•	Le modèle choisi est réentraîné le cas échéant. 
•	Les connaissances sont transférées d’un modèle à l’autre le cas échéant.
•	Les hyperparamètres du modèle sont décrits.
•	Le travail de feature engineering est effectué lorsque c’est possible (usages classes plutôt que valeurs brutes, réduction de la taille du data set pour optimiser les performances via l’usage de dérivés, etc.).</t>
  </si>
  <si>
    <t>L’exploitation de la solution est permise par l’intégration des briques technologiques au sein de l’environnement technique choisi :
•	Le processus de livraison et de déploiement continu est mis en œuvre.
•	Le versionning est implémenté.
•	Les besoins d’intégration sont documentés.</t>
  </si>
  <si>
    <t>La pertinence de l’architecture cible est évaluée avec l’appui des acteurs ressources :
•	Les principales architectures et leurs contraintes sont connues.
•	Les contraintes économiques des différents scénarios sont portées à la connaissance des acteurs pertinents pour dimensionner au mieux la proposition d’architecture.
•	Le cas échéant les acteurs métiers et / ou le commanditaire et / ou les acteurs techniques du projet sont interrogés pour préciser les contraintes techniques liées à la généralisation de la solution.</t>
  </si>
  <si>
    <t>La performance de la solution d'IA est correctement mesurée : 
•	Des indicateurs de performance (et seuils associés) adaptés aux attendus de la solution IA sont définis. 
•	La performance de la solution est mesurée grâce au suivi des indicateurs définis.
•	Les résultats de l'exploitation de la solution IA sont interprétés et présentés aux interlocuteurs concernés.
•	Les actions adaptées sont le cas échant déclenchées en fonction des résultats de l'analyse des indicateurs.</t>
  </si>
  <si>
    <t>La permanence de l'adéquation de la solution d'IA avec les besoins identifiés est assurée grâce à la mise en place d'un cadre d'évaluation pertinent et évolutif : 
•	Un système d’évaluation automatisé du modèle d’IA et totalement intégré aux processus CI/CD grâce aux pratiques MLOPS est mis en place
•	Les métriques (taux de prévision, robustesse, variations de performance, obsolescence, etc.) sont intégrées.
•	La pertinence des indicateurs de performance est interrogée selon une périodicité définie en phase de cadrage du projet.</t>
  </si>
  <si>
    <t xml:space="preserve">Le jeu de données créé est représentatif et adapté aux besoins métiers et aux cas d’usage :
•	Les besoins métiers sont correctement identifiés.
•	Les cas d’usages sont correctement décrits.
•	Les données a priori pertinentes (et celles nécessaires a minima) pour alimenter le modèle d'IA sont identifiées.
•	L’existence, la disponibilité et l'accès des données sont vérifiés.
•	Le cas échéant, des solutions alternatives sont envisagées en cas d'indisponibilité, d'absence ou d'inaccessibilité des données. </t>
  </si>
  <si>
    <t>Production à partir d’un ou plusieurs jeux de données et journal de bord</t>
  </si>
  <si>
    <t>Soutenance orale</t>
  </si>
  <si>
    <t>Questionnaire auto administré</t>
  </si>
  <si>
    <t>Les critères devant être vérifiés</t>
  </si>
  <si>
    <t xml:space="preserve">Appréciation générale : </t>
  </si>
  <si>
    <t xml:space="preserve">Préconisations du jury en cas de rattrapage : </t>
  </si>
  <si>
    <t>70% des compétences sont validées</t>
  </si>
  <si>
    <t>Toutes les compétences &gt;50%</t>
  </si>
  <si>
    <t>COMMENTAIRE</t>
  </si>
  <si>
    <t>TAUX DE COMPETENCES VALIDEES</t>
  </si>
  <si>
    <t>RESULTAT</t>
  </si>
  <si>
    <t>EVALUATION COMPETENCE</t>
  </si>
  <si>
    <t>☐ Avis favorable pour l’obtention de la certification
☐ Avis défavorable pour l’obtention de la certification
☐ Rattrapage</t>
  </si>
  <si>
    <r>
      <rPr>
        <b/>
        <sz val="10"/>
        <rFont val="Calibri"/>
        <family val="2"/>
        <scheme val="minor"/>
      </rPr>
      <t xml:space="preserve">Le présent mode d'emploi rappelle les règles de calcul (a) et d'obtention (b) de la certification. Il indique également comment renseigner les tableaux 
Comment renseigner le présent outil
Cet outil de calcul des résultats doit être complété pour chaque candidat, édité et joint au PV du jury.
ATTENTION SEULES LES CASES GRISES PEUVENT ETRE MODIFIEES
Il est rappelé que chaque compétence doit faire l'objet d'une appréciation spécifique, indépendamment des autres compétences.
a. La certification "Concevoir et implémenter une solution d'intelligence artificielle" est évaluée via un cas d'usage et un questionnaire à visée professionnelle. </t>
    </r>
    <r>
      <rPr>
        <sz val="10"/>
        <rFont val="Calibri"/>
        <family val="2"/>
        <scheme val="minor"/>
      </rPr>
      <t xml:space="preserve">
Le cas d’usage permet d’évaluer l’ensemble des compétences du référentiel. La réalisation du cas d’usage mobilise 3 modalités d’évaluation différentes : une production à partir d’un ou de plusieurs jeu(x) de données, un journal de bord, et soutenance orale. La production d'un jeu de données et le journal de bord sont appelées productions écrites et font l'objet d'une notation commune, qui compte pour 50% de la note du cas d'usage. La soutenance orale compte pour 50% de la note du cas d'usage.
L’évaluation des compétences se fait selon le système de pondération suivant :
-	Les compétences 3,5, 6, 7, 8 et 9 sont évaluées à 100% par le cas d’usage, selon la pondération énoncée précédemment entre écrit (50%) et oral (50%)
-	Les compétences 1, 2 et 4 : 
o	50% pour le questionnaire à visée professionnelle,
o	50% pour le cas d’usage (en tenant compte de la répartition énoncée précédemment).  
b. L</t>
    </r>
    <r>
      <rPr>
        <b/>
        <sz val="10"/>
        <rFont val="Calibri"/>
        <family val="2"/>
        <scheme val="minor"/>
      </rPr>
      <t xml:space="preserve">es règles d’obtention de la certification sont les suivantes </t>
    </r>
    <r>
      <rPr>
        <sz val="10"/>
        <rFont val="Calibri"/>
        <family val="2"/>
        <scheme val="minor"/>
      </rPr>
      <t xml:space="preserve">
Une compétence obtient un statut  « validée » ou « Non validée ». Une compétence est validée si le candidat obtient une appréciation de 70% ou plus de maîtrise de la compétence (cf. échelle de notation)
La certification est validée si :
-	Le candidat a validé au moins 70% des compétences,
-	Un seuil de 50% de maîtrise est atteint pour chacune des compétences.
</t>
    </r>
    <r>
      <rPr>
        <b/>
        <sz val="10"/>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</si>
</sst>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1"/>
      <color theme="0"/>
      <name val="Calibri"/>
      <family val="2"/>
      <scheme val="minor"/>
    </font>
    <font>
      <b/>
      <sz val="11"/>
      <color rgb="FF7030A0"/>
      <name val="Calibri"/>
      <family val="2"/>
      <scheme val="minor"/>
    </font>
    <font>
      <sz val="10"/>
      <color theme="1"/>
      <name val="Calibri"/>
      <family val="2"/>
      <scheme val="minor"/>
    </font>
    <font>
      <b/>
      <u/>
      <sz val="11"/>
      <color theme="1"/>
      <name val="Calibri"/>
      <family val="2"/>
      <scheme val="minor"/>
    </font>
    <font>
      <b/>
      <sz val="10"/>
      <color theme="1"/>
      <name val="Calibri"/>
      <family val="2"/>
      <scheme val="minor"/>
    </font>
    <font>
      <sz val="10"/>
      <color rgb="FF000000"/>
      <name val="Calibri"/>
      <family val="2"/>
    </font>
    <font>
      <b/>
      <sz val="11"/>
      <color theme="1"/>
      <name val="Aptos"/>
      <family val="2"/>
    </font>
    <font>
      <b/>
      <sz val="11"/>
      <color theme="1"/>
      <name val="Calibri"/>
      <family val="2"/>
      <scheme val="minor"/>
    </font>
    <font>
      <b/>
      <sz val="11"/>
      <name val="Calibri"/>
      <family val="2"/>
      <scheme val="minor"/>
    </font>
    <font>
      <b/>
      <sz val="12"/>
      <name val="Calibri"/>
      <family val="2"/>
    </font>
    <font>
      <sz val="11"/>
      <name val="Calibri"/>
      <family val="2"/>
      <scheme val="minor"/>
    </font>
    <font>
      <sz val="11"/>
      <color theme="0"/>
      <name val="Calibri"/>
      <family val="2"/>
      <scheme val="minor"/>
    </font>
    <font>
      <sz val="10"/>
      <color rgb="FF7030A0"/>
      <name val="Calibri"/>
      <family val="2"/>
    </font>
    <font>
      <b/>
      <u/>
      <sz val="11"/>
      <color theme="0"/>
      <name val="Calibri"/>
      <family val="2"/>
      <scheme val="minor"/>
    </font>
    <font>
      <b/>
      <sz val="10"/>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CC66FF"/>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diagonalUp="1" diagonalDown="1">
      <left style="thin">
        <color indexed="64"/>
      </left>
      <right style="thin">
        <color indexed="64"/>
      </right>
      <top style="thin">
        <color indexed="64"/>
      </top>
      <bottom style="thin">
        <color indexed="64"/>
      </bottom>
      <diagonal style="thin">
        <color auto="1"/>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6">
    <xf numFmtId="0" fontId="0" fillId="0" borderId="0" xfId="0"/>
    <xf numFmtId="0" fontId="0" fillId="2" borderId="0" xfId="0" applyFill="1"/>
    <xf numFmtId="0" fontId="4" fillId="2" borderId="1" xfId="0" applyFont="1" applyFill="1" applyBorder="1" applyAlignment="1">
      <alignment vertical="top" wrapText="1"/>
    </xf>
    <xf numFmtId="9" fontId="0" fillId="2" borderId="9" xfId="1" applyFont="1" applyFill="1" applyBorder="1" applyAlignment="1">
      <alignment horizontal="center" vertical="center" wrapText="1"/>
    </xf>
    <xf numFmtId="0" fontId="0" fillId="2" borderId="0" xfId="0" applyFill="1" applyAlignment="1">
      <alignment vertical="center" wrapText="1"/>
    </xf>
    <xf numFmtId="0" fontId="0" fillId="2" borderId="1" xfId="0" applyFill="1" applyBorder="1"/>
    <xf numFmtId="0" fontId="14" fillId="2" borderId="1" xfId="0" applyFont="1" applyFill="1" applyBorder="1" applyAlignment="1">
      <alignment horizontal="justify" vertical="center" wrapText="1"/>
    </xf>
    <xf numFmtId="0" fontId="14" fillId="2" borderId="1" xfId="0" applyFont="1" applyFill="1" applyBorder="1" applyAlignment="1">
      <alignment horizontal="center" vertical="center" wrapText="1"/>
    </xf>
    <xf numFmtId="0" fontId="0" fillId="2" borderId="13" xfId="0" applyFill="1" applyBorder="1" applyAlignment="1">
      <alignment vertical="center" wrapText="1"/>
    </xf>
    <xf numFmtId="0" fontId="7"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applyAlignment="1">
      <alignment horizontal="left" vertical="center" wrapText="1"/>
    </xf>
    <xf numFmtId="0" fontId="0" fillId="2" borderId="1" xfId="0" applyFill="1" applyBorder="1" applyAlignment="1">
      <alignment vertical="center" wrapText="1"/>
    </xf>
    <xf numFmtId="0" fontId="4" fillId="2" borderId="0" xfId="0" applyFont="1" applyFill="1"/>
    <xf numFmtId="0" fontId="0" fillId="2" borderId="1" xfId="0" applyFill="1" applyBorder="1" applyAlignment="1">
      <alignment horizontal="center" vertical="center"/>
    </xf>
    <xf numFmtId="0" fontId="6" fillId="2" borderId="1" xfId="0" applyFont="1" applyFill="1" applyBorder="1"/>
    <xf numFmtId="9" fontId="9" fillId="2" borderId="1" xfId="1" applyFont="1" applyFill="1" applyBorder="1"/>
    <xf numFmtId="0" fontId="9" fillId="2" borderId="1" xfId="0" applyFont="1" applyFill="1" applyBorder="1"/>
    <xf numFmtId="0" fontId="9" fillId="2" borderId="1" xfId="0" applyFont="1" applyFill="1" applyBorder="1" applyAlignment="1">
      <alignment horizontal="center" vertical="center"/>
    </xf>
    <xf numFmtId="9" fontId="2" fillId="3" borderId="1" xfId="1" applyFont="1" applyFill="1" applyBorder="1" applyAlignment="1">
      <alignment horizontal="center" vertical="center"/>
    </xf>
    <xf numFmtId="0" fontId="5" fillId="2" borderId="10" xfId="0" applyFont="1" applyFill="1" applyBorder="1"/>
    <xf numFmtId="0" fontId="5" fillId="2" borderId="2" xfId="0" applyFont="1" applyFill="1" applyBorder="1"/>
    <xf numFmtId="0" fontId="5" fillId="2" borderId="3" xfId="0" applyFont="1" applyFill="1" applyBorder="1"/>
    <xf numFmtId="0" fontId="5" fillId="2" borderId="13" xfId="0" applyFont="1" applyFill="1" applyBorder="1"/>
    <xf numFmtId="0" fontId="15" fillId="2" borderId="0" xfId="0" applyFont="1" applyFill="1"/>
    <xf numFmtId="0" fontId="13" fillId="2" borderId="0" xfId="0" applyFont="1" applyFill="1" applyAlignment="1">
      <alignment vertical="center" wrapText="1"/>
    </xf>
    <xf numFmtId="0" fontId="0" fillId="2" borderId="1" xfId="0" applyFill="1" applyBorder="1" applyAlignment="1">
      <alignment horizontal="left"/>
    </xf>
    <xf numFmtId="0" fontId="5" fillId="2" borderId="0" xfId="0" applyFont="1" applyFill="1"/>
    <xf numFmtId="0" fontId="5" fillId="2" borderId="10" xfId="0" applyFont="1" applyFill="1" applyBorder="1" applyAlignment="1">
      <alignment vertical="top"/>
    </xf>
    <xf numFmtId="0" fontId="5" fillId="2" borderId="2" xfId="0" applyFont="1" applyFill="1" applyBorder="1" applyAlignment="1">
      <alignment vertical="top"/>
    </xf>
    <xf numFmtId="0" fontId="5" fillId="2" borderId="3" xfId="0" applyFont="1" applyFill="1" applyBorder="1" applyAlignment="1">
      <alignment vertical="top"/>
    </xf>
    <xf numFmtId="0" fontId="0" fillId="2" borderId="0" xfId="0" applyFill="1"/>
    <xf numFmtId="0" fontId="0" fillId="2" borderId="0" xfId="0" applyFill="1" applyAlignment="1">
      <alignment horizontal="center"/>
    </xf>
    <xf numFmtId="0" fontId="4" fillId="2" borderId="0" xfId="0" applyFont="1" applyFill="1" applyAlignment="1">
      <alignment horizontal="left" vertical="top" wrapText="1"/>
    </xf>
    <xf numFmtId="0" fontId="0" fillId="2" borderId="11" xfId="0" applyFill="1" applyBorder="1" applyAlignment="1">
      <alignment horizontal="center"/>
    </xf>
    <xf numFmtId="0" fontId="0" fillId="2" borderId="12" xfId="0" applyFill="1" applyBorder="1" applyAlignment="1">
      <alignment horizontal="center"/>
    </xf>
    <xf numFmtId="0" fontId="0" fillId="2" borderId="0" xfId="0" applyFill="1" applyAlignment="1">
      <alignment horizontal="left" vertical="top"/>
    </xf>
    <xf numFmtId="0" fontId="0" fillId="2" borderId="0" xfId="0" applyFill="1" applyAlignment="1">
      <alignment horizontal="left"/>
    </xf>
    <xf numFmtId="0" fontId="5" fillId="4" borderId="4" xfId="0" applyFont="1" applyFill="1" applyBorder="1" applyAlignment="1">
      <alignment horizontal="center" vertical="top"/>
    </xf>
    <xf numFmtId="0" fontId="5" fillId="4" borderId="0" xfId="0" applyFont="1" applyFill="1" applyAlignment="1">
      <alignment horizontal="center" vertical="top"/>
    </xf>
    <xf numFmtId="0" fontId="5" fillId="4" borderId="5" xfId="0" applyFont="1" applyFill="1" applyBorder="1" applyAlignment="1">
      <alignment horizontal="center" vertical="top"/>
    </xf>
    <xf numFmtId="0" fontId="5" fillId="4" borderId="6" xfId="0" applyFont="1" applyFill="1" applyBorder="1" applyAlignment="1">
      <alignment horizontal="center" vertical="top"/>
    </xf>
    <xf numFmtId="0" fontId="5" fillId="4" borderId="7" xfId="0" applyFont="1" applyFill="1" applyBorder="1" applyAlignment="1">
      <alignment horizontal="center" vertical="top"/>
    </xf>
    <xf numFmtId="0" fontId="5" fillId="4" borderId="8" xfId="0" applyFont="1" applyFill="1" applyBorder="1" applyAlignment="1">
      <alignment horizontal="center" vertical="top"/>
    </xf>
    <xf numFmtId="0" fontId="0" fillId="4" borderId="10" xfId="0" applyFill="1" applyBorder="1"/>
    <xf numFmtId="0" fontId="0" fillId="4" borderId="3" xfId="0" applyFill="1" applyBorder="1"/>
    <xf numFmtId="0" fontId="0" fillId="4" borderId="4" xfId="0" applyFill="1" applyBorder="1"/>
    <xf numFmtId="0" fontId="0" fillId="4" borderId="5" xfId="0" applyFill="1" applyBorder="1"/>
    <xf numFmtId="0" fontId="0" fillId="4" borderId="4" xfId="0" applyFill="1" applyBorder="1" applyAlignment="1">
      <alignment horizontal="left" vertical="top"/>
    </xf>
    <xf numFmtId="0" fontId="0" fillId="4" borderId="5" xfId="0" applyFill="1" applyBorder="1" applyAlignment="1">
      <alignment horizontal="left" vertical="top"/>
    </xf>
    <xf numFmtId="0" fontId="0" fillId="4" borderId="6" xfId="0" applyFill="1" applyBorder="1" applyAlignment="1">
      <alignment horizontal="left" vertical="top"/>
    </xf>
    <xf numFmtId="0" fontId="0" fillId="4" borderId="8" xfId="0" applyFill="1" applyBorder="1" applyAlignment="1">
      <alignment horizontal="left" vertical="top"/>
    </xf>
    <xf numFmtId="0" fontId="0" fillId="4" borderId="13" xfId="0" applyFill="1" applyBorder="1"/>
    <xf numFmtId="0" fontId="0" fillId="4" borderId="15" xfId="0" applyFill="1" applyBorder="1"/>
    <xf numFmtId="0" fontId="0" fillId="4" borderId="15" xfId="0" applyFill="1" applyBorder="1" applyAlignment="1">
      <alignment horizontal="left" vertical="top"/>
    </xf>
    <xf numFmtId="0" fontId="0" fillId="4" borderId="14" xfId="0" applyFill="1" applyBorder="1" applyAlignment="1">
      <alignment horizontal="left" vertical="top"/>
    </xf>
    <xf numFmtId="0" fontId="0" fillId="4" borderId="13" xfId="0" applyFill="1" applyBorder="1" applyAlignment="1">
      <alignment horizontal="left" vertical="center" wrapText="1"/>
    </xf>
    <xf numFmtId="0" fontId="0" fillId="4" borderId="14" xfId="0" applyFill="1" applyBorder="1" applyAlignment="1">
      <alignment horizontal="left" vertical="center" wrapText="1"/>
    </xf>
    <xf numFmtId="9" fontId="8" fillId="4" borderId="1" xfId="1" applyFont="1" applyFill="1" applyBorder="1" applyAlignment="1">
      <alignment vertical="center" wrapText="1"/>
    </xf>
    <xf numFmtId="9" fontId="11" fillId="4" borderId="1" xfId="1" applyFont="1" applyFill="1" applyBorder="1" applyAlignment="1">
      <alignment vertical="center" wrapText="1"/>
    </xf>
    <xf numFmtId="0" fontId="12" fillId="4" borderId="1" xfId="0" applyFont="1" applyFill="1" applyBorder="1"/>
    <xf numFmtId="9" fontId="10" fillId="4" borderId="1" xfId="1" applyFont="1" applyFill="1" applyBorder="1" applyAlignment="1">
      <alignment horizontal="right" vertical="center"/>
    </xf>
    <xf numFmtId="0" fontId="0" fillId="4" borderId="1" xfId="0" applyFill="1" applyBorder="1" applyAlignment="1">
      <alignment horizontal="left"/>
    </xf>
    <xf numFmtId="0" fontId="0" fillId="2" borderId="0" xfId="0" applyFill="1" applyAlignment="1"/>
    <xf numFmtId="0" fontId="0" fillId="4" borderId="1" xfId="0" applyFill="1" applyBorder="1" applyAlignment="1"/>
    <xf numFmtId="0" fontId="0" fillId="2" borderId="0" xfId="0" applyFill="1" applyBorder="1" applyAlignment="1">
      <alignment horizontal="center"/>
    </xf>
  </cellXfs>
  <cellStyles count="2">
    <cellStyle name="Normal" xfId="0" builtinId="0"/>
    <cellStyle name="Pourcentage" xfId="1" builtinId="5"/>
  </cellStyles>
  <dxfs count="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CC66FF"/>
      <color rgb="FFCC0000"/>
      <color rgb="FFF49F84"/>
      <color rgb="FFCCCCFF"/>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EBC2-EC33-4376-970A-75816E0C3970}">
  <sheetPr>
    <pageSetUpPr fitToPage="1"/>
  </sheetPr>
  <dimension ref="A1:R26"/>
  <sheetViews>
    <sheetView tabSelected="1" view="pageLayout" topLeftCell="A5" zoomScale="110" zoomScaleNormal="100" zoomScalePageLayoutView="110" workbookViewId="0">
      <selection activeCell="A5" sqref="A5:M26"/>
    </sheetView>
  </sheetViews>
  <sheetFormatPr baseColWidth="10" defaultRowHeight="14.5" x14ac:dyDescent="0.35"/>
  <cols>
    <col min="1" max="16384" width="10.90625" style="1"/>
  </cols>
  <sheetData>
    <row r="1" spans="1:18" x14ac:dyDescent="0.35">
      <c r="A1" s="31"/>
      <c r="B1" s="31"/>
      <c r="C1" s="31"/>
      <c r="D1" s="31"/>
      <c r="E1" s="31"/>
      <c r="F1" s="31"/>
      <c r="G1" s="31"/>
      <c r="H1" s="31"/>
      <c r="I1" s="31"/>
      <c r="J1" s="31"/>
      <c r="K1" s="31"/>
      <c r="L1" s="31"/>
      <c r="M1" s="31"/>
    </row>
    <row r="2" spans="1:18" x14ac:dyDescent="0.35">
      <c r="A2" s="32" t="s">
        <v>0</v>
      </c>
      <c r="B2" s="32"/>
      <c r="C2" s="32"/>
      <c r="D2" s="32"/>
      <c r="E2" s="32"/>
      <c r="F2" s="32"/>
      <c r="G2" s="32"/>
      <c r="H2" s="32"/>
      <c r="I2" s="32"/>
      <c r="J2" s="32"/>
      <c r="K2" s="32"/>
      <c r="L2" s="32"/>
      <c r="M2" s="32"/>
    </row>
    <row r="3" spans="1:18" x14ac:dyDescent="0.35">
      <c r="A3" s="32" t="s">
        <v>4</v>
      </c>
      <c r="B3" s="32"/>
      <c r="C3" s="32"/>
      <c r="D3" s="32"/>
      <c r="E3" s="32"/>
      <c r="F3" s="32"/>
      <c r="G3" s="32"/>
      <c r="H3" s="32"/>
      <c r="I3" s="32"/>
      <c r="J3" s="32"/>
      <c r="K3" s="32"/>
      <c r="L3" s="32"/>
      <c r="M3" s="32"/>
    </row>
    <row r="4" spans="1:18" x14ac:dyDescent="0.35">
      <c r="A4" s="31"/>
      <c r="B4" s="31"/>
      <c r="C4" s="31"/>
      <c r="D4" s="31"/>
      <c r="E4" s="31"/>
      <c r="F4" s="31"/>
      <c r="G4" s="31"/>
      <c r="H4" s="31"/>
      <c r="I4" s="31"/>
      <c r="J4" s="31"/>
      <c r="K4" s="31"/>
      <c r="L4" s="31"/>
      <c r="M4" s="31"/>
    </row>
    <row r="5" spans="1:18" ht="409.5" customHeight="1" x14ac:dyDescent="0.35">
      <c r="A5" s="33" t="s">
        <v>42</v>
      </c>
      <c r="B5" s="33"/>
      <c r="C5" s="33"/>
      <c r="D5" s="33"/>
      <c r="E5" s="33"/>
      <c r="F5" s="33"/>
      <c r="G5" s="33"/>
      <c r="H5" s="33"/>
      <c r="I5" s="33"/>
      <c r="J5" s="33"/>
      <c r="K5" s="33"/>
      <c r="L5" s="33"/>
      <c r="M5" s="33"/>
      <c r="N5" s="4"/>
      <c r="O5" s="4"/>
      <c r="P5" s="4"/>
      <c r="Q5" s="4"/>
      <c r="R5" s="4"/>
    </row>
    <row r="6" spans="1:18" x14ac:dyDescent="0.35">
      <c r="A6" s="33"/>
      <c r="B6" s="33"/>
      <c r="C6" s="33"/>
      <c r="D6" s="33"/>
      <c r="E6" s="33"/>
      <c r="F6" s="33"/>
      <c r="G6" s="33"/>
      <c r="H6" s="33"/>
      <c r="I6" s="33"/>
      <c r="J6" s="33"/>
      <c r="K6" s="33"/>
      <c r="L6" s="33"/>
      <c r="M6" s="33"/>
    </row>
    <row r="7" spans="1:18" x14ac:dyDescent="0.35">
      <c r="A7" s="33"/>
      <c r="B7" s="33"/>
      <c r="C7" s="33"/>
      <c r="D7" s="33"/>
      <c r="E7" s="33"/>
      <c r="F7" s="33"/>
      <c r="G7" s="33"/>
      <c r="H7" s="33"/>
      <c r="I7" s="33"/>
      <c r="J7" s="33"/>
      <c r="K7" s="33"/>
      <c r="L7" s="33"/>
      <c r="M7" s="33"/>
    </row>
    <row r="8" spans="1:18" x14ac:dyDescent="0.35">
      <c r="A8" s="33"/>
      <c r="B8" s="33"/>
      <c r="C8" s="33"/>
      <c r="D8" s="33"/>
      <c r="E8" s="33"/>
      <c r="F8" s="33"/>
      <c r="G8" s="33"/>
      <c r="H8" s="33"/>
      <c r="I8" s="33"/>
      <c r="J8" s="33"/>
      <c r="K8" s="33"/>
      <c r="L8" s="33"/>
      <c r="M8" s="33"/>
    </row>
    <row r="9" spans="1:18" x14ac:dyDescent="0.35">
      <c r="A9" s="33"/>
      <c r="B9" s="33"/>
      <c r="C9" s="33"/>
      <c r="D9" s="33"/>
      <c r="E9" s="33"/>
      <c r="F9" s="33"/>
      <c r="G9" s="33"/>
      <c r="H9" s="33"/>
      <c r="I9" s="33"/>
      <c r="J9" s="33"/>
      <c r="K9" s="33"/>
      <c r="L9" s="33"/>
      <c r="M9" s="33"/>
    </row>
    <row r="10" spans="1:18" x14ac:dyDescent="0.35">
      <c r="A10" s="33"/>
      <c r="B10" s="33"/>
      <c r="C10" s="33"/>
      <c r="D10" s="33"/>
      <c r="E10" s="33"/>
      <c r="F10" s="33"/>
      <c r="G10" s="33"/>
      <c r="H10" s="33"/>
      <c r="I10" s="33"/>
      <c r="J10" s="33"/>
      <c r="K10" s="33"/>
      <c r="L10" s="33"/>
      <c r="M10" s="33"/>
    </row>
    <row r="11" spans="1:18" x14ac:dyDescent="0.35">
      <c r="A11" s="33"/>
      <c r="B11" s="33"/>
      <c r="C11" s="33"/>
      <c r="D11" s="33"/>
      <c r="E11" s="33"/>
      <c r="F11" s="33"/>
      <c r="G11" s="33"/>
      <c r="H11" s="33"/>
      <c r="I11" s="33"/>
      <c r="J11" s="33"/>
      <c r="K11" s="33"/>
      <c r="L11" s="33"/>
      <c r="M11" s="33"/>
    </row>
    <row r="12" spans="1:18" x14ac:dyDescent="0.35">
      <c r="A12" s="33"/>
      <c r="B12" s="33"/>
      <c r="C12" s="33"/>
      <c r="D12" s="33"/>
      <c r="E12" s="33"/>
      <c r="F12" s="33"/>
      <c r="G12" s="33"/>
      <c r="H12" s="33"/>
      <c r="I12" s="33"/>
      <c r="J12" s="33"/>
      <c r="K12" s="33"/>
      <c r="L12" s="33"/>
      <c r="M12" s="33"/>
    </row>
    <row r="13" spans="1:18" x14ac:dyDescent="0.35">
      <c r="A13" s="33"/>
      <c r="B13" s="33"/>
      <c r="C13" s="33"/>
      <c r="D13" s="33"/>
      <c r="E13" s="33"/>
      <c r="F13" s="33"/>
      <c r="G13" s="33"/>
      <c r="H13" s="33"/>
      <c r="I13" s="33"/>
      <c r="J13" s="33"/>
      <c r="K13" s="33"/>
      <c r="L13" s="33"/>
      <c r="M13" s="33"/>
    </row>
    <row r="14" spans="1:18" x14ac:dyDescent="0.35">
      <c r="A14" s="33"/>
      <c r="B14" s="33"/>
      <c r="C14" s="33"/>
      <c r="D14" s="33"/>
      <c r="E14" s="33"/>
      <c r="F14" s="33"/>
      <c r="G14" s="33"/>
      <c r="H14" s="33"/>
      <c r="I14" s="33"/>
      <c r="J14" s="33"/>
      <c r="K14" s="33"/>
      <c r="L14" s="33"/>
      <c r="M14" s="33"/>
    </row>
    <row r="15" spans="1:18" x14ac:dyDescent="0.35">
      <c r="A15" s="33"/>
      <c r="B15" s="33"/>
      <c r="C15" s="33"/>
      <c r="D15" s="33"/>
      <c r="E15" s="33"/>
      <c r="F15" s="33"/>
      <c r="G15" s="33"/>
      <c r="H15" s="33"/>
      <c r="I15" s="33"/>
      <c r="J15" s="33"/>
      <c r="K15" s="33"/>
      <c r="L15" s="33"/>
      <c r="M15" s="33"/>
    </row>
    <row r="16" spans="1:18" x14ac:dyDescent="0.35">
      <c r="A16" s="33"/>
      <c r="B16" s="33"/>
      <c r="C16" s="33"/>
      <c r="D16" s="33"/>
      <c r="E16" s="33"/>
      <c r="F16" s="33"/>
      <c r="G16" s="33"/>
      <c r="H16" s="33"/>
      <c r="I16" s="33"/>
      <c r="J16" s="33"/>
      <c r="K16" s="33"/>
      <c r="L16" s="33"/>
      <c r="M16" s="33"/>
    </row>
    <row r="17" spans="1:13" x14ac:dyDescent="0.35">
      <c r="A17" s="33"/>
      <c r="B17" s="33"/>
      <c r="C17" s="33"/>
      <c r="D17" s="33"/>
      <c r="E17" s="33"/>
      <c r="F17" s="33"/>
      <c r="G17" s="33"/>
      <c r="H17" s="33"/>
      <c r="I17" s="33"/>
      <c r="J17" s="33"/>
      <c r="K17" s="33"/>
      <c r="L17" s="33"/>
      <c r="M17" s="33"/>
    </row>
    <row r="18" spans="1:13" x14ac:dyDescent="0.35">
      <c r="A18" s="33"/>
      <c r="B18" s="33"/>
      <c r="C18" s="33"/>
      <c r="D18" s="33"/>
      <c r="E18" s="33"/>
      <c r="F18" s="33"/>
      <c r="G18" s="33"/>
      <c r="H18" s="33"/>
      <c r="I18" s="33"/>
      <c r="J18" s="33"/>
      <c r="K18" s="33"/>
      <c r="L18" s="33"/>
      <c r="M18" s="33"/>
    </row>
    <row r="19" spans="1:13" x14ac:dyDescent="0.35">
      <c r="A19" s="33"/>
      <c r="B19" s="33"/>
      <c r="C19" s="33"/>
      <c r="D19" s="33"/>
      <c r="E19" s="33"/>
      <c r="F19" s="33"/>
      <c r="G19" s="33"/>
      <c r="H19" s="33"/>
      <c r="I19" s="33"/>
      <c r="J19" s="33"/>
      <c r="K19" s="33"/>
      <c r="L19" s="33"/>
      <c r="M19" s="33"/>
    </row>
    <row r="20" spans="1:13" x14ac:dyDescent="0.35">
      <c r="A20" s="33"/>
      <c r="B20" s="33"/>
      <c r="C20" s="33"/>
      <c r="D20" s="33"/>
      <c r="E20" s="33"/>
      <c r="F20" s="33"/>
      <c r="G20" s="33"/>
      <c r="H20" s="33"/>
      <c r="I20" s="33"/>
      <c r="J20" s="33"/>
      <c r="K20" s="33"/>
      <c r="L20" s="33"/>
      <c r="M20" s="33"/>
    </row>
    <row r="21" spans="1:13" x14ac:dyDescent="0.35">
      <c r="A21" s="33"/>
      <c r="B21" s="33"/>
      <c r="C21" s="33"/>
      <c r="D21" s="33"/>
      <c r="E21" s="33"/>
      <c r="F21" s="33"/>
      <c r="G21" s="33"/>
      <c r="H21" s="33"/>
      <c r="I21" s="33"/>
      <c r="J21" s="33"/>
      <c r="K21" s="33"/>
      <c r="L21" s="33"/>
      <c r="M21" s="33"/>
    </row>
    <row r="22" spans="1:13" x14ac:dyDescent="0.35">
      <c r="A22" s="33"/>
      <c r="B22" s="33"/>
      <c r="C22" s="33"/>
      <c r="D22" s="33"/>
      <c r="E22" s="33"/>
      <c r="F22" s="33"/>
      <c r="G22" s="33"/>
      <c r="H22" s="33"/>
      <c r="I22" s="33"/>
      <c r="J22" s="33"/>
      <c r="K22" s="33"/>
      <c r="L22" s="33"/>
      <c r="M22" s="33"/>
    </row>
    <row r="23" spans="1:13" x14ac:dyDescent="0.35">
      <c r="A23" s="33"/>
      <c r="B23" s="33"/>
      <c r="C23" s="33"/>
      <c r="D23" s="33"/>
      <c r="E23" s="33"/>
      <c r="F23" s="33"/>
      <c r="G23" s="33"/>
      <c r="H23" s="33"/>
      <c r="I23" s="33"/>
      <c r="J23" s="33"/>
      <c r="K23" s="33"/>
      <c r="L23" s="33"/>
      <c r="M23" s="33"/>
    </row>
    <row r="24" spans="1:13" x14ac:dyDescent="0.35">
      <c r="A24" s="33"/>
      <c r="B24" s="33"/>
      <c r="C24" s="33"/>
      <c r="D24" s="33"/>
      <c r="E24" s="33"/>
      <c r="F24" s="33"/>
      <c r="G24" s="33"/>
      <c r="H24" s="33"/>
      <c r="I24" s="33"/>
      <c r="J24" s="33"/>
      <c r="K24" s="33"/>
      <c r="L24" s="33"/>
      <c r="M24" s="33"/>
    </row>
    <row r="25" spans="1:13" x14ac:dyDescent="0.35">
      <c r="A25" s="33"/>
      <c r="B25" s="33"/>
      <c r="C25" s="33"/>
      <c r="D25" s="33"/>
      <c r="E25" s="33"/>
      <c r="F25" s="33"/>
      <c r="G25" s="33"/>
      <c r="H25" s="33"/>
      <c r="I25" s="33"/>
      <c r="J25" s="33"/>
      <c r="K25" s="33"/>
      <c r="L25" s="33"/>
      <c r="M25" s="33"/>
    </row>
    <row r="26" spans="1:13" x14ac:dyDescent="0.35">
      <c r="A26" s="33"/>
      <c r="B26" s="33"/>
      <c r="C26" s="33"/>
      <c r="D26" s="33"/>
      <c r="E26" s="33"/>
      <c r="F26" s="33"/>
      <c r="G26" s="33"/>
      <c r="H26" s="33"/>
      <c r="I26" s="33"/>
      <c r="J26" s="33"/>
      <c r="K26" s="33"/>
      <c r="L26" s="33"/>
      <c r="M26" s="33"/>
    </row>
  </sheetData>
  <mergeCells count="5">
    <mergeCell ref="A1:M1"/>
    <mergeCell ref="A2:M2"/>
    <mergeCell ref="A3:M3"/>
    <mergeCell ref="A4:M4"/>
    <mergeCell ref="A5:M26"/>
  </mergeCells>
  <pageMargins left="0.70866141732283472" right="0.70866141732283472" top="0.74803149606299213" bottom="0.74803149606299213" header="0.31496062992125984" footer="0.31496062992125984"/>
  <pageSetup paperSize="9" scale="4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457A-81BF-4544-A6DF-868B6B4FA58F}">
  <sheetPr>
    <pageSetUpPr fitToPage="1"/>
  </sheetPr>
  <dimension ref="A1:K33"/>
  <sheetViews>
    <sheetView view="pageBreakPreview" topLeftCell="A14" zoomScale="50" zoomScaleNormal="90" zoomScaleSheetLayoutView="50" workbookViewId="0">
      <selection activeCell="F8" sqref="F8"/>
    </sheetView>
  </sheetViews>
  <sheetFormatPr baseColWidth="10" defaultRowHeight="14.5" x14ac:dyDescent="0.35"/>
  <cols>
    <col min="1" max="1" width="24.6328125" style="1" customWidth="1"/>
    <col min="2" max="2" width="56.90625" style="13" customWidth="1"/>
    <col min="3" max="3" width="11.08984375" style="1" customWidth="1"/>
    <col min="4" max="4" width="13.54296875" style="1" customWidth="1"/>
    <col min="5" max="5" width="9.90625" style="1" customWidth="1"/>
    <col min="6" max="6" width="37.81640625" style="1" customWidth="1"/>
    <col min="7" max="7" width="12.36328125" style="1" customWidth="1"/>
    <col min="8" max="8" width="12.1796875" style="1" bestFit="1" customWidth="1"/>
    <col min="9" max="16384" width="10.90625" style="1"/>
  </cols>
  <sheetData>
    <row r="1" spans="1:11" x14ac:dyDescent="0.35">
      <c r="A1" s="32" t="s">
        <v>0</v>
      </c>
      <c r="B1" s="32"/>
      <c r="C1" s="32"/>
      <c r="D1" s="32"/>
      <c r="E1" s="32"/>
      <c r="F1" s="32"/>
      <c r="G1" s="32"/>
      <c r="H1" s="32"/>
      <c r="I1" s="32"/>
      <c r="J1" s="32"/>
      <c r="K1" s="32"/>
    </row>
    <row r="2" spans="1:11" x14ac:dyDescent="0.35">
      <c r="A2" s="32" t="s">
        <v>4</v>
      </c>
      <c r="B2" s="32"/>
      <c r="C2" s="32"/>
      <c r="D2" s="32"/>
      <c r="E2" s="32"/>
      <c r="F2" s="32"/>
      <c r="G2" s="32"/>
      <c r="H2" s="32"/>
      <c r="I2" s="32"/>
      <c r="J2" s="32"/>
      <c r="K2" s="32"/>
    </row>
    <row r="3" spans="1:11" x14ac:dyDescent="0.35">
      <c r="B3" s="1"/>
    </row>
    <row r="4" spans="1:11" x14ac:dyDescent="0.35">
      <c r="A4" s="63" t="s">
        <v>1</v>
      </c>
      <c r="B4" s="64"/>
      <c r="C4" s="65"/>
      <c r="D4" s="65"/>
      <c r="E4" s="65"/>
      <c r="G4" s="37" t="s">
        <v>3</v>
      </c>
      <c r="H4" s="37"/>
      <c r="I4" s="62"/>
      <c r="J4" s="62"/>
    </row>
    <row r="5" spans="1:11" x14ac:dyDescent="0.35">
      <c r="A5" s="63" t="s">
        <v>2</v>
      </c>
      <c r="B5" s="64"/>
      <c r="C5" s="65"/>
      <c r="D5" s="65"/>
      <c r="E5" s="65"/>
    </row>
    <row r="8" spans="1:11" ht="65" x14ac:dyDescent="0.35">
      <c r="A8" s="5"/>
      <c r="B8" s="6" t="s">
        <v>32</v>
      </c>
      <c r="C8" s="7" t="s">
        <v>31</v>
      </c>
      <c r="D8" s="7" t="s">
        <v>29</v>
      </c>
      <c r="E8" s="7" t="s">
        <v>30</v>
      </c>
      <c r="F8" s="7" t="s">
        <v>37</v>
      </c>
      <c r="G8" s="7" t="s">
        <v>40</v>
      </c>
      <c r="H8" s="7" t="s">
        <v>39</v>
      </c>
    </row>
    <row r="9" spans="1:11" ht="117" x14ac:dyDescent="0.35">
      <c r="A9" s="8" t="s">
        <v>10</v>
      </c>
      <c r="B9" s="9" t="s">
        <v>28</v>
      </c>
      <c r="C9" s="58">
        <v>1</v>
      </c>
      <c r="D9" s="58">
        <v>0.9</v>
      </c>
      <c r="E9" s="59">
        <v>0.7</v>
      </c>
      <c r="F9" s="59"/>
      <c r="G9" s="19">
        <f>C9*50%+D9*25%+E9*25%</f>
        <v>0.89999999999999991</v>
      </c>
      <c r="H9" s="14" t="str">
        <f>IF(G9&gt;69.9%, "VALIDEE","NON VALIDEE")</f>
        <v>VALIDEE</v>
      </c>
    </row>
    <row r="10" spans="1:11" ht="169.5" x14ac:dyDescent="0.35">
      <c r="A10" s="8" t="s">
        <v>11</v>
      </c>
      <c r="B10" s="10" t="s">
        <v>20</v>
      </c>
      <c r="C10" s="58">
        <v>1</v>
      </c>
      <c r="D10" s="58">
        <v>1</v>
      </c>
      <c r="E10" s="58">
        <v>1</v>
      </c>
      <c r="F10" s="60"/>
      <c r="G10" s="19">
        <f>C10*50%+D10*25%+E10*25%</f>
        <v>1</v>
      </c>
      <c r="H10" s="14" t="str">
        <f t="shared" ref="H10:H17" si="0">IF(G10&gt;69.9%, "VALIDEE","NON VALIDEE")</f>
        <v>VALIDEE</v>
      </c>
    </row>
    <row r="11" spans="1:11" ht="221.5" x14ac:dyDescent="0.35">
      <c r="A11" s="8" t="s">
        <v>12</v>
      </c>
      <c r="B11" s="10" t="s">
        <v>21</v>
      </c>
      <c r="C11" s="3"/>
      <c r="D11" s="61">
        <v>1</v>
      </c>
      <c r="E11" s="61">
        <v>1</v>
      </c>
      <c r="F11" s="60"/>
      <c r="G11" s="19">
        <f>D11*50%+E11*50%</f>
        <v>1</v>
      </c>
      <c r="H11" s="14" t="str">
        <f t="shared" si="0"/>
        <v>VALIDEE</v>
      </c>
    </row>
    <row r="12" spans="1:11" ht="273.5" x14ac:dyDescent="0.35">
      <c r="A12" s="8" t="s">
        <v>13</v>
      </c>
      <c r="B12" s="10" t="s">
        <v>22</v>
      </c>
      <c r="C12" s="61">
        <v>1</v>
      </c>
      <c r="D12" s="61">
        <v>1</v>
      </c>
      <c r="E12" s="61">
        <v>1</v>
      </c>
      <c r="F12" s="60"/>
      <c r="G12" s="19">
        <f>C12*50%+D12*25%+E12*25%</f>
        <v>1</v>
      </c>
      <c r="H12" s="14" t="str">
        <f t="shared" si="0"/>
        <v>VALIDEE</v>
      </c>
    </row>
    <row r="13" spans="1:11" ht="14.5" customHeight="1" x14ac:dyDescent="0.35">
      <c r="A13" s="8" t="s">
        <v>14</v>
      </c>
      <c r="B13" s="10" t="s">
        <v>23</v>
      </c>
      <c r="C13" s="3"/>
      <c r="D13" s="61">
        <v>1</v>
      </c>
      <c r="E13" s="61">
        <v>1</v>
      </c>
      <c r="F13" s="60"/>
      <c r="G13" s="19">
        <f t="shared" ref="G13:G17" si="1">D13*50%+E13*50%</f>
        <v>1</v>
      </c>
      <c r="H13" s="14" t="str">
        <f t="shared" si="0"/>
        <v>VALIDEE</v>
      </c>
    </row>
    <row r="14" spans="1:11" ht="116" x14ac:dyDescent="0.35">
      <c r="A14" s="8" t="s">
        <v>15</v>
      </c>
      <c r="B14" s="11" t="s">
        <v>24</v>
      </c>
      <c r="C14" s="3"/>
      <c r="D14" s="61">
        <v>1</v>
      </c>
      <c r="E14" s="61">
        <v>1</v>
      </c>
      <c r="F14" s="60"/>
      <c r="G14" s="19">
        <f t="shared" si="1"/>
        <v>1</v>
      </c>
      <c r="H14" s="14" t="str">
        <f t="shared" si="0"/>
        <v>VALIDEE</v>
      </c>
    </row>
    <row r="15" spans="1:11" ht="117.5" x14ac:dyDescent="0.35">
      <c r="A15" s="8" t="s">
        <v>16</v>
      </c>
      <c r="B15" s="10" t="s">
        <v>25</v>
      </c>
      <c r="C15" s="3"/>
      <c r="D15" s="61">
        <v>1</v>
      </c>
      <c r="E15" s="61">
        <v>1</v>
      </c>
      <c r="F15" s="60"/>
      <c r="G15" s="19">
        <f t="shared" si="1"/>
        <v>1</v>
      </c>
      <c r="H15" s="14" t="str">
        <f t="shared" si="0"/>
        <v>VALIDEE</v>
      </c>
    </row>
    <row r="16" spans="1:11" ht="117.5" x14ac:dyDescent="0.35">
      <c r="A16" s="8" t="s">
        <v>17</v>
      </c>
      <c r="B16" s="10" t="s">
        <v>26</v>
      </c>
      <c r="C16" s="3"/>
      <c r="D16" s="61">
        <v>1</v>
      </c>
      <c r="E16" s="61">
        <v>1</v>
      </c>
      <c r="F16" s="60"/>
      <c r="G16" s="19">
        <f t="shared" si="1"/>
        <v>1</v>
      </c>
      <c r="H16" s="14" t="str">
        <f t="shared" si="0"/>
        <v>VALIDEE</v>
      </c>
    </row>
    <row r="17" spans="1:8" ht="14.5" customHeight="1" x14ac:dyDescent="0.35">
      <c r="A17" s="12" t="s">
        <v>18</v>
      </c>
      <c r="B17" s="2" t="s">
        <v>27</v>
      </c>
      <c r="C17" s="3"/>
      <c r="D17" s="61">
        <v>1</v>
      </c>
      <c r="E17" s="61">
        <v>1</v>
      </c>
      <c r="F17" s="60"/>
      <c r="G17" s="19">
        <f t="shared" si="1"/>
        <v>1</v>
      </c>
      <c r="H17" s="14" t="str">
        <f t="shared" si="0"/>
        <v>VALIDEE</v>
      </c>
    </row>
    <row r="20" spans="1:8" x14ac:dyDescent="0.35">
      <c r="B20" s="15" t="s">
        <v>38</v>
      </c>
      <c r="C20" s="16">
        <f>(COUNTIF(G9:G17,"&gt;69,9%"))/9</f>
        <v>1</v>
      </c>
      <c r="E20" s="20" t="s">
        <v>33</v>
      </c>
      <c r="F20" s="29"/>
      <c r="G20" s="30"/>
    </row>
    <row r="21" spans="1:8" x14ac:dyDescent="0.35">
      <c r="B21" s="17" t="s">
        <v>35</v>
      </c>
      <c r="C21" s="18" t="str">
        <f>IF(C20&gt;0.69,"OUI","NON")</f>
        <v>OUI</v>
      </c>
      <c r="E21" s="38"/>
      <c r="F21" s="39"/>
      <c r="G21" s="40"/>
    </row>
    <row r="22" spans="1:8" x14ac:dyDescent="0.35">
      <c r="B22" s="15" t="s">
        <v>36</v>
      </c>
      <c r="C22" s="18" t="str">
        <f>IF(AND(G9&gt;0.49,G10&gt;0.49,G11&gt;0.49,G12&gt;0.49,G13&gt;0.49,G14&gt;0.49,G15&gt;0.49,G16&gt;0.49,G17&gt;0.49),"OUI","NON")</f>
        <v>OUI</v>
      </c>
      <c r="E22" s="38"/>
      <c r="F22" s="39"/>
      <c r="G22" s="40"/>
    </row>
    <row r="23" spans="1:8" x14ac:dyDescent="0.35">
      <c r="E23" s="41"/>
      <c r="F23" s="42"/>
      <c r="G23" s="43"/>
    </row>
    <row r="24" spans="1:8" x14ac:dyDescent="0.35">
      <c r="B24" s="23" t="s">
        <v>5</v>
      </c>
      <c r="C24" s="24"/>
      <c r="D24" s="24"/>
      <c r="E24" s="28" t="s">
        <v>34</v>
      </c>
      <c r="F24" s="21"/>
      <c r="G24" s="22"/>
      <c r="H24" s="27"/>
    </row>
    <row r="25" spans="1:8" ht="29" customHeight="1" x14ac:dyDescent="0.35">
      <c r="B25" s="56" t="s">
        <v>41</v>
      </c>
      <c r="C25" s="25"/>
      <c r="D25" s="25"/>
      <c r="E25" s="38"/>
      <c r="F25" s="39"/>
      <c r="G25" s="40"/>
    </row>
    <row r="26" spans="1:8" x14ac:dyDescent="0.35">
      <c r="B26" s="57"/>
      <c r="E26" s="41"/>
      <c r="F26" s="42"/>
      <c r="G26" s="43"/>
    </row>
    <row r="28" spans="1:8" x14ac:dyDescent="0.35">
      <c r="B28" s="26" t="s">
        <v>19</v>
      </c>
      <c r="E28" s="34" t="s">
        <v>6</v>
      </c>
      <c r="F28" s="35"/>
      <c r="G28" s="32"/>
      <c r="H28" s="32"/>
    </row>
    <row r="29" spans="1:8" x14ac:dyDescent="0.35">
      <c r="B29" s="52" t="s">
        <v>7</v>
      </c>
      <c r="E29" s="44" t="s">
        <v>7</v>
      </c>
      <c r="F29" s="45"/>
    </row>
    <row r="30" spans="1:8" x14ac:dyDescent="0.35">
      <c r="B30" s="53" t="s">
        <v>8</v>
      </c>
      <c r="E30" s="46" t="s">
        <v>8</v>
      </c>
      <c r="F30" s="47"/>
    </row>
    <row r="31" spans="1:8" x14ac:dyDescent="0.35">
      <c r="B31" s="54" t="s">
        <v>9</v>
      </c>
      <c r="E31" s="48" t="s">
        <v>9</v>
      </c>
      <c r="F31" s="49"/>
      <c r="G31" s="36"/>
      <c r="H31" s="36"/>
    </row>
    <row r="32" spans="1:8" x14ac:dyDescent="0.35">
      <c r="B32" s="54"/>
      <c r="E32" s="48"/>
      <c r="F32" s="49"/>
      <c r="G32" s="36"/>
      <c r="H32" s="36"/>
    </row>
    <row r="33" spans="2:8" x14ac:dyDescent="0.35">
      <c r="B33" s="55"/>
      <c r="E33" s="50"/>
      <c r="F33" s="51"/>
      <c r="G33" s="36"/>
      <c r="H33" s="36"/>
    </row>
  </sheetData>
  <mergeCells count="13">
    <mergeCell ref="C5:E5"/>
    <mergeCell ref="E21:G23"/>
    <mergeCell ref="E25:G26"/>
    <mergeCell ref="A1:K1"/>
    <mergeCell ref="A2:K2"/>
    <mergeCell ref="C4:E4"/>
    <mergeCell ref="G4:H4"/>
    <mergeCell ref="I4:J4"/>
    <mergeCell ref="E28:F28"/>
    <mergeCell ref="G28:H28"/>
    <mergeCell ref="E31:F33"/>
    <mergeCell ref="G31:H33"/>
    <mergeCell ref="B25:B26"/>
  </mergeCells>
  <conditionalFormatting sqref="C21:C22">
    <cfRule type="containsText" dxfId="3" priority="1" operator="containsText" text="OUI">
      <formula>NOT(ISERROR(SEARCH("OUI",C21)))</formula>
    </cfRule>
    <cfRule type="containsText" dxfId="2" priority="2" operator="containsText" text="NON">
      <formula>NOT(ISERROR(SEARCH("NON",C21)))</formula>
    </cfRule>
  </conditionalFormatting>
  <conditionalFormatting sqref="H9:H17">
    <cfRule type="containsText" dxfId="1" priority="3" operator="containsText" text="NON VALIDEE">
      <formula>NOT(ISERROR(SEARCH("NON VALIDEE",H9)))</formula>
    </cfRule>
    <cfRule type="cellIs" dxfId="0" priority="4" operator="equal">
      <formula>"VALIDEE"</formula>
    </cfRule>
  </conditionalFormatting>
  <pageMargins left="0.70866141732283472" right="0.70866141732283472" top="0.74803149606299213" bottom="0.74803149606299213" header="0.31496062992125984" footer="0.31496062992125984"/>
  <pageSetup paperSize="9" scale="4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mplacement xmlns="e8147664-7ee9-442d-b0ab-bb4211aebd4c" xsi:nil="true"/>
    <lcf76f155ced4ddcb4097134ff3c332f xmlns="e8147664-7ee9-442d-b0ab-bb4211aebd4c">
      <Terms xmlns="http://schemas.microsoft.com/office/infopath/2007/PartnerControls"/>
    </lcf76f155ced4ddcb4097134ff3c332f>
    <TaxCatchAll xmlns="29a1e0e6-44ab-47ba-9722-0c969970732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C68E7736E06EA40895F2C2EB9ABE373" ma:contentTypeVersion="26" ma:contentTypeDescription="Crée un document." ma:contentTypeScope="" ma:versionID="dd73fde145029079afd2aa3153c96f9f">
  <xsd:schema xmlns:xsd="http://www.w3.org/2001/XMLSchema" xmlns:xs="http://www.w3.org/2001/XMLSchema" xmlns:p="http://schemas.microsoft.com/office/2006/metadata/properties" xmlns:ns2="29a1e0e6-44ab-47ba-9722-0c9699707323" xmlns:ns3="e8147664-7ee9-442d-b0ab-bb4211aebd4c" targetNamespace="http://schemas.microsoft.com/office/2006/metadata/properties" ma:root="true" ma:fieldsID="ccb02c6991c7be0429925180673fd21b" ns2:_="" ns3:_="">
    <xsd:import namespace="29a1e0e6-44ab-47ba-9722-0c9699707323"/>
    <xsd:import namespace="e8147664-7ee9-442d-b0ab-bb4211aebd4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Emplacement" minOccurs="0"/>
                <xsd:element ref="ns3:d9b24ccd-39d1-4fa7-8b5b-44104d66231aCountryOrRegion" minOccurs="0"/>
                <xsd:element ref="ns3:d9b24ccd-39d1-4fa7-8b5b-44104d66231aState" minOccurs="0"/>
                <xsd:element ref="ns3:d9b24ccd-39d1-4fa7-8b5b-44104d66231aCity" minOccurs="0"/>
                <xsd:element ref="ns3:d9b24ccd-39d1-4fa7-8b5b-44104d66231aPostalCode" minOccurs="0"/>
                <xsd:element ref="ns3:d9b24ccd-39d1-4fa7-8b5b-44104d66231aStreet" minOccurs="0"/>
                <xsd:element ref="ns3:d9b24ccd-39d1-4fa7-8b5b-44104d66231aGeoLoc" minOccurs="0"/>
                <xsd:element ref="ns3:d9b24ccd-39d1-4fa7-8b5b-44104d66231aDispNam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a1e0e6-44ab-47ba-9722-0c9699707323"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73cced67-2e07-4a83-8779-13d24e5d1740}" ma:internalName="TaxCatchAll" ma:showField="CatchAllData" ma:web="29a1e0e6-44ab-47ba-9722-0c969970732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8147664-7ee9-442d-b0ab-bb4211aebd4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ddd6ae1b-0e48-4179-ab90-e7d0744b0608" ma:termSetId="09814cd3-568e-fe90-9814-8d621ff8fb84" ma:anchorId="fba54fb3-c3e1-fe81-a776-ca4b69148c4d" ma:open="true" ma:isKeyword="false">
      <xsd:complexType>
        <xsd:sequence>
          <xsd:element ref="pc:Terms" minOccurs="0" maxOccurs="1"/>
        </xsd:sequence>
      </xsd:complexType>
    </xsd:element>
    <xsd:element name="Emplacement" ma:index="24" nillable="true" ma:displayName="Emplacement" ma:format="Dropdown" ma:internalName="Emplacement">
      <xsd:simpleType>
        <xsd:restriction base="dms:Unknown"/>
      </xsd:simpleType>
    </xsd:element>
    <xsd:element name="d9b24ccd-39d1-4fa7-8b5b-44104d66231aCountryOrRegion" ma:index="25" nillable="true" ma:displayName="Emplacement : Pays/région" ma:internalName="CountryOrRegion" ma:readOnly="true">
      <xsd:simpleType>
        <xsd:restriction base="dms:Text"/>
      </xsd:simpleType>
    </xsd:element>
    <xsd:element name="d9b24ccd-39d1-4fa7-8b5b-44104d66231aState" ma:index="26" nillable="true" ma:displayName="Emplacement : État" ma:internalName="State" ma:readOnly="true">
      <xsd:simpleType>
        <xsd:restriction base="dms:Text"/>
      </xsd:simpleType>
    </xsd:element>
    <xsd:element name="d9b24ccd-39d1-4fa7-8b5b-44104d66231aCity" ma:index="27" nillable="true" ma:displayName="Emplacement : Ville" ma:internalName="City" ma:readOnly="true">
      <xsd:simpleType>
        <xsd:restriction base="dms:Text"/>
      </xsd:simpleType>
    </xsd:element>
    <xsd:element name="d9b24ccd-39d1-4fa7-8b5b-44104d66231aPostalCode" ma:index="28" nillable="true" ma:displayName="Emplacement : Code postal" ma:internalName="PostalCode" ma:readOnly="true">
      <xsd:simpleType>
        <xsd:restriction base="dms:Text"/>
      </xsd:simpleType>
    </xsd:element>
    <xsd:element name="d9b24ccd-39d1-4fa7-8b5b-44104d66231aStreet" ma:index="29" nillable="true" ma:displayName="Emplacement : Rue" ma:internalName="Street" ma:readOnly="true">
      <xsd:simpleType>
        <xsd:restriction base="dms:Text"/>
      </xsd:simpleType>
    </xsd:element>
    <xsd:element name="d9b24ccd-39d1-4fa7-8b5b-44104d66231aGeoLoc" ma:index="30" nillable="true" ma:displayName="Emplacement : Coordonnées" ma:internalName="GeoLoc" ma:readOnly="true">
      <xsd:simpleType>
        <xsd:restriction base="dms:Unknown"/>
      </xsd:simpleType>
    </xsd:element>
    <xsd:element name="d9b24ccd-39d1-4fa7-8b5b-44104d66231aDispName" ma:index="31" nillable="true" ma:displayName="Emplacement : nom" ma:internalName="DispName" ma:readOnly="true">
      <xsd:simpleType>
        <xsd:restriction base="dms:Text"/>
      </xsd:simpleType>
    </xsd:element>
    <xsd:element name="MediaServiceObjectDetectorVersions" ma:index="3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726EF5-ABCA-472C-83B4-3481FC6332B7}">
  <ds:schemaRefs>
    <ds:schemaRef ds:uri="http://schemas.microsoft.com/office/2006/metadata/properties"/>
    <ds:schemaRef ds:uri="http://schemas.microsoft.com/office/infopath/2007/PartnerControls"/>
    <ds:schemaRef ds:uri="e8147664-7ee9-442d-b0ab-bb4211aebd4c"/>
    <ds:schemaRef ds:uri="29a1e0e6-44ab-47ba-9722-0c9699707323"/>
  </ds:schemaRefs>
</ds:datastoreItem>
</file>

<file path=customXml/itemProps2.xml><?xml version="1.0" encoding="utf-8"?>
<ds:datastoreItem xmlns:ds="http://schemas.openxmlformats.org/officeDocument/2006/customXml" ds:itemID="{E30928A6-6E8A-449B-A24E-CAC5452163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a1e0e6-44ab-47ba-9722-0c9699707323"/>
    <ds:schemaRef ds:uri="e8147664-7ee9-442d-b0ab-bb4211aebd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E529A0-FE6A-4331-82EC-0F97E98755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Mode d'emploi</vt:lpstr>
      <vt:lpstr>Grille de notation</vt:lpstr>
      <vt:lpstr>'Grille de notation'!Zone_d_impression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dc:creator>
  <cp:lastModifiedBy>Marie BAUER</cp:lastModifiedBy>
  <cp:lastPrinted>2024-05-28T10:32:35Z</cp:lastPrinted>
  <dcterms:created xsi:type="dcterms:W3CDTF">2023-01-11T13:15:21Z</dcterms:created>
  <dcterms:modified xsi:type="dcterms:W3CDTF">2024-06-10T19:05:14Z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0x0101001C68E7736E06EA40895F2C2EB9ABE373</vt:lpwstr>
  </property>
  <property fmtid="{D5CDD505-2E9C-101B-9397-08002B2CF9AE}" pid="3" name="MediaServiceImageTags">
    <vt:lpwstr/>
  </property>
</Properties>
</file>